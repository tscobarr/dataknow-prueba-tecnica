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yeccion" sheetId="1" state="visible" r:id="rId1"/>
    <sheet xmlns:r="http://schemas.openxmlformats.org/officeDocument/2006/relationships" name="Metodo" sheetId="2" state="visible" r:id="rId2"/>
    <sheet xmlns:r="http://schemas.openxmlformats.org/officeDocument/2006/relationships" name="Backtest" sheetId="3" state="visible" r:id="rId3"/>
    <sheet xmlns:r="http://schemas.openxmlformats.org/officeDocument/2006/relationships" name="Formul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0">
    <font>
      <name val="Calibri"/>
      <family val="2"/>
      <color theme="1"/>
      <sz val="11"/>
      <scheme val="minor"/>
    </font>
    <font>
      <name val="Inter"/>
      <b val="1"/>
      <color rgb="001e293b"/>
      <sz val="14"/>
    </font>
    <font>
      <name val="Inter"/>
      <color rgb="0064748b"/>
      <sz val="9"/>
    </font>
    <font>
      <name val="Inter"/>
      <b val="1"/>
      <color rgb="00ffffff"/>
      <sz val="10"/>
    </font>
    <font>
      <name val="Inter"/>
      <b val="1"/>
      <color rgb="0010b981"/>
      <sz val="10"/>
    </font>
    <font>
      <name val="Inter"/>
      <color rgb="001e293b"/>
      <sz val="10"/>
    </font>
    <font>
      <name val="Inter"/>
      <color rgb="0064748b"/>
      <sz val="8"/>
    </font>
    <font>
      <name val="Inter"/>
      <b val="1"/>
      <color rgb="003b82f6"/>
      <sz val="11"/>
    </font>
    <font>
      <name val="Inter"/>
      <b val="1"/>
      <color rgb="001e293b"/>
      <sz val="10"/>
    </font>
    <font>
      <name val="Inter"/>
      <b val="1"/>
      <color rgb="003b82f6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b82f6"/>
        <bgColor rgb="003b82f6"/>
      </patternFill>
    </fill>
    <fill>
      <patternFill patternType="solid">
        <fgColor rgb="00dbeafe"/>
        <bgColor rgb="00dbeafe"/>
      </patternFill>
    </fill>
    <fill>
      <patternFill patternType="solid">
        <fgColor rgb="00fee2e2"/>
        <bgColor rgb="00fee2e2"/>
      </patternFill>
    </fill>
    <fill>
      <patternFill patternType="solid">
        <fgColor rgb="00f1f5f9"/>
        <bgColor rgb="00f1f5f9"/>
      </patternFill>
    </fill>
    <fill>
      <patternFill patternType="solid">
        <fgColor rgb="00d1fae5"/>
        <bgColor rgb="00d1fae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6" borderId="1" applyAlignment="1" pivotButton="0" quotePrefix="0" xfId="0">
      <alignment horizontal="center" vertical="center"/>
    </xf>
    <xf numFmtId="0" fontId="5" fillId="0" borderId="0" pivotButton="0" quotePrefix="0" xfId="0"/>
    <xf numFmtId="164" fontId="5" fillId="7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0" fontId="9" fillId="0" borderId="0" pivotButton="0" quotePrefix="0" xfId="0"/>
    <xf numFmtId="0" fontId="8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b82f6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0" customWidth="1" min="3" max="3"/>
    <col width="30" customWidth="1" min="4" max="4"/>
    <col width="16" customWidth="1" min="5" max="5"/>
    <col width="20" customWidth="1" min="6" max="6"/>
    <col width="30" customWidth="1" min="7" max="7"/>
  </cols>
  <sheetData>
    <row r="1">
      <c r="A1" s="1" t="inlineStr">
        <is>
          <t>Proyeccion de Costos — Equipos de Construccion</t>
        </is>
      </c>
    </row>
    <row r="2">
      <c r="A2" s="2" t="inlineStr">
        <is>
          <t>Ultimo dato: 2023-08-31 | Metodo: Naive | Horizonte principal: 1 mes | IC 95%</t>
        </is>
      </c>
    </row>
    <row r="4">
      <c r="A4" s="3" t="inlineStr">
        <is>
          <t>Mes</t>
        </is>
      </c>
      <c r="B4" s="3" t="inlineStr">
        <is>
          <t>Eq1 diario</t>
        </is>
      </c>
      <c r="C4" s="3" t="inlineStr">
        <is>
          <t>Eq1 mensual (~22d)</t>
        </is>
      </c>
      <c r="D4" s="3" t="inlineStr">
        <is>
          <t>IC 95% Eq1</t>
        </is>
      </c>
      <c r="E4" s="3" t="inlineStr">
        <is>
          <t>Eq2 diario</t>
        </is>
      </c>
      <c r="F4" s="3" t="inlineStr">
        <is>
          <t>Eq2 mensual (~22d)</t>
        </is>
      </c>
      <c r="G4" s="3" t="inlineStr">
        <is>
          <t>IC 95% Eq2</t>
        </is>
      </c>
    </row>
    <row r="5">
      <c r="A5" s="4" t="n">
        <v>1</v>
      </c>
      <c r="B5" s="5" t="n">
        <v>459.8708507998644</v>
      </c>
      <c r="C5" s="6" t="n">
        <v>10117.15871759702</v>
      </c>
      <c r="D5" s="7" t="inlineStr">
        <is>
          <t>$450.68 a $469.06</t>
        </is>
      </c>
      <c r="E5" s="5" t="n">
        <v>925.2932620529677</v>
      </c>
      <c r="F5" s="6" t="n">
        <v>20356.45176516529</v>
      </c>
      <c r="G5" s="7" t="inlineStr">
        <is>
          <t>$910.12 a $940.46</t>
        </is>
      </c>
    </row>
    <row r="6">
      <c r="A6" s="7" t="n">
        <v>2</v>
      </c>
      <c r="B6" s="8" t="n">
        <v>459.8708507998644</v>
      </c>
      <c r="C6" s="9" t="n">
        <v>10117.15871759702</v>
      </c>
      <c r="D6" s="7" t="inlineStr">
        <is>
          <t>$446.87 a $472.87</t>
        </is>
      </c>
      <c r="E6" s="8" t="n">
        <v>925.2932620529677</v>
      </c>
      <c r="F6" s="9" t="n">
        <v>20356.45176516529</v>
      </c>
      <c r="G6" s="7" t="inlineStr">
        <is>
          <t>$903.84 a $946.75</t>
        </is>
      </c>
    </row>
    <row r="7">
      <c r="A7" s="7" t="n">
        <v>3</v>
      </c>
      <c r="B7" s="8" t="n">
        <v>459.8708507998644</v>
      </c>
      <c r="C7" s="9" t="n">
        <v>10117.15871759702</v>
      </c>
      <c r="D7" s="7" t="inlineStr">
        <is>
          <t>$443.95 a $475.79</t>
        </is>
      </c>
      <c r="E7" s="8" t="n">
        <v>925.2932620529677</v>
      </c>
      <c r="F7" s="9" t="n">
        <v>20356.45176516529</v>
      </c>
      <c r="G7" s="7" t="inlineStr">
        <is>
          <t>$899.02 a $951.57</t>
        </is>
      </c>
    </row>
    <row r="8">
      <c r="A8" s="10" t="n">
        <v>4</v>
      </c>
      <c r="B8" s="11" t="n">
        <v>459.8708507998644</v>
      </c>
      <c r="C8" s="12" t="n">
        <v>10117.15871759702</v>
      </c>
      <c r="D8" s="10" t="inlineStr">
        <is>
          <t>$441.49 a $478.25</t>
        </is>
      </c>
      <c r="E8" s="11" t="n">
        <v>925.2932620529677</v>
      </c>
      <c r="F8" s="12" t="n">
        <v>20356.45176516529</v>
      </c>
      <c r="G8" s="10" t="inlineStr">
        <is>
          <t>$894.95 a $955.64</t>
        </is>
      </c>
    </row>
    <row r="9">
      <c r="A9" s="10" t="n">
        <v>5</v>
      </c>
      <c r="B9" s="11" t="n">
        <v>459.8708507998644</v>
      </c>
      <c r="C9" s="12" t="n">
        <v>10117.15871759702</v>
      </c>
      <c r="D9" s="10" t="inlineStr">
        <is>
          <t>$439.32 a $480.42</t>
        </is>
      </c>
      <c r="E9" s="11" t="n">
        <v>925.2932620529677</v>
      </c>
      <c r="F9" s="12" t="n">
        <v>20356.45176516529</v>
      </c>
      <c r="G9" s="10" t="inlineStr">
        <is>
          <t>$891.37 a $959.22</t>
        </is>
      </c>
    </row>
    <row r="10">
      <c r="A10" s="10" t="n">
        <v>6</v>
      </c>
      <c r="B10" s="11" t="n">
        <v>459.8708507998644</v>
      </c>
      <c r="C10" s="12" t="n">
        <v>10117.15871759702</v>
      </c>
      <c r="D10" s="10" t="inlineStr">
        <is>
          <t>$437.36 a $482.38</t>
        </is>
      </c>
      <c r="E10" s="11" t="n">
        <v>925.2932620529677</v>
      </c>
      <c r="F10" s="12" t="n">
        <v>20356.45176516529</v>
      </c>
      <c r="G10" s="10" t="inlineStr">
        <is>
          <t>$888.13 a $962.46</t>
        </is>
      </c>
    </row>
    <row r="12">
      <c r="A12" s="13" t="inlineStr">
        <is>
          <t>IC = 1.96 * sigma_residuales * sqrt(mes)</t>
        </is>
      </c>
    </row>
    <row r="13">
      <c r="A13" s="13" t="inlineStr">
        <is>
          <t>sigma Eq1 = $4.69  |  sigma Eq2 = $7.74</t>
        </is>
      </c>
    </row>
    <row r="14">
      <c r="A14" s="13" t="inlineStr">
        <is>
          <t>Fila azul = horizonte principal (1 mes). Rojo = baja confiabilidad (ilustrativo). Costo mensual asume 22 dias habiles.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0" customWidth="1" min="1" max="1"/>
    <col width="38" customWidth="1" min="2" max="2"/>
    <col width="10" customWidth="1" min="3" max="3"/>
    <col width="10" customWidth="1" min="4" max="4"/>
    <col width="10" customWidth="1" min="5" max="5"/>
    <col width="50" customWidth="1" min="6" max="6"/>
  </cols>
  <sheetData>
    <row r="1">
      <c r="A1" s="1" t="inlineStr">
        <is>
          <t>Metodologia de Pronostico</t>
        </is>
      </c>
    </row>
    <row r="3">
      <c r="A3" s="14" t="inlineStr">
        <is>
          <t>Modelos de Regresion (164 meses, 2010-2023)</t>
        </is>
      </c>
    </row>
    <row r="4">
      <c r="A4" s="3" t="inlineStr">
        <is>
          <t>Equipo</t>
        </is>
      </c>
      <c r="B4" s="3" t="inlineStr">
        <is>
          <t>Ecuacion</t>
        </is>
      </c>
      <c r="C4" s="3" t="inlineStr">
        <is>
          <t>R2</t>
        </is>
      </c>
      <c r="D4" s="3" t="inlineStr">
        <is>
          <t>MAE</t>
        </is>
      </c>
      <c r="E4" s="3" t="inlineStr">
        <is>
          <t>sigma</t>
        </is>
      </c>
      <c r="F4" s="3" t="inlineStr">
        <is>
          <t>Nota</t>
        </is>
      </c>
    </row>
    <row r="5">
      <c r="A5" s="7" t="inlineStr">
        <is>
          <t>Equipo 1</t>
        </is>
      </c>
      <c r="B5" s="7" t="inlineStr">
        <is>
          <t>Eq1 = 0.8182*Y + 5.49</t>
        </is>
      </c>
      <c r="C5" s="7" t="n">
        <v>0.9983</v>
      </c>
      <c r="D5" s="7" t="inlineStr">
        <is>
          <t>$3.83</t>
        </is>
      </c>
      <c r="E5" s="7" t="inlineStr">
        <is>
          <t>$4.69</t>
        </is>
      </c>
      <c r="F5" s="7" t="inlineStr">
        <is>
          <t>Y es el mejor predictor. Z redundante (corr=0.84).</t>
        </is>
      </c>
    </row>
    <row r="6">
      <c r="A6" s="15" t="inlineStr">
        <is>
          <t>Equipo 2</t>
        </is>
      </c>
      <c r="B6" s="15" t="inlineStr">
        <is>
          <t>Eq2 = 0.3551*Y + 0.3368*Z + 6.49</t>
        </is>
      </c>
      <c r="C6" s="15" t="n">
        <v>0.9979</v>
      </c>
      <c r="D6" s="15" t="inlineStr">
        <is>
          <t>$6.38</t>
        </is>
      </c>
      <c r="E6" s="15" t="inlineStr">
        <is>
          <t>$7.74</t>
        </is>
      </c>
      <c r="F6" s="15" t="inlineStr">
        <is>
          <t>Y+Z necesarios. X no mejora la prediccion de forma suficiente.</t>
        </is>
      </c>
    </row>
    <row r="8">
      <c r="A8" s="14" t="inlineStr">
        <is>
          <t>Justificacion del Metodo Naive</t>
        </is>
      </c>
    </row>
    <row r="9">
      <c r="A9" s="16" t="inlineStr">
        <is>
          <t>1. Test ADF: las 3 materias primas son no estacionarias en niveles, estacionarias en 1a diferencia -&gt; caminatas aleatorias.</t>
        </is>
      </c>
    </row>
    <row r="10">
      <c r="A10" s="16" t="inlineStr">
        <is>
          <t>2. En caminatas aleatorias, el mejor predictor es el ultimo valor conocido (Naive).</t>
        </is>
      </c>
    </row>
    <row r="11">
      <c r="A11" s="16" t="inlineStr">
        <is>
          <t>3. Valores de referencia: Y = $555.33/dia, Z = $2142.52/dia (promedio del ultimo mes).</t>
        </is>
      </c>
    </row>
    <row r="12">
      <c r="A12" s="16" t="inlineStr">
        <is>
          <t>4. Ver hoja Backtest: Naive obtiene menor MAE que SMA(3) y SMA(6) en las 3 variables.</t>
        </is>
      </c>
    </row>
    <row r="13">
      <c r="A13" s="16" t="inlineStr">
        <is>
          <t>5. SES (suavizamiento exponencial) optimiza alpha=1.0, equivalente a Naive en caminata aleatoria.</t>
        </is>
      </c>
    </row>
    <row r="14">
      <c r="A14" s="16" t="inlineStr">
        <is>
          <t>6. IC 95% = 1.96 * sigma_residuales * sqrt(horizonte). sigma es la desviacion estandar de los residuales del modelo.</t>
        </is>
      </c>
    </row>
    <row r="16">
      <c r="A16" s="14" t="inlineStr">
        <is>
          <t>Horizonte de Prediccion</t>
        </is>
      </c>
    </row>
    <row r="17">
      <c r="A17" s="16" t="inlineStr">
        <is>
          <t>Horizonte principal: 1 mes — el caso solicita "los meses requeridos por el proyecto".</t>
        </is>
      </c>
    </row>
    <row r="18">
      <c r="A18" s="16" t="inlineStr">
        <is>
          <t>Valor puntual constante (propio de Naive). IC se amplia con sqrt(meses): a mayor plazo, mayor incertidumbre.</t>
        </is>
      </c>
    </row>
    <row r="19">
      <c r="A19" s="16" t="inlineStr">
        <is>
          <t>3-6 meses solo ilustrativos. Con IC tan amplios pierden utilidad para presupuestar.</t>
        </is>
      </c>
    </row>
  </sheetData>
  <mergeCells count="9">
    <mergeCell ref="A11:F11"/>
    <mergeCell ref="A10:F10"/>
    <mergeCell ref="A13:F13"/>
    <mergeCell ref="A14:F14"/>
    <mergeCell ref="A19:F19"/>
    <mergeCell ref="A9:F9"/>
    <mergeCell ref="A17:F17"/>
    <mergeCell ref="A12:F12"/>
    <mergeCell ref="A18:F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8" customWidth="1" min="5" max="5"/>
  </cols>
  <sheetData>
    <row r="1">
      <c r="A1" s="1" t="inlineStr">
        <is>
          <t>Backtest — Comparacion de Metodos (MAE en $)</t>
        </is>
      </c>
    </row>
    <row r="2">
      <c r="A2" s="2" t="inlineStr">
        <is>
          <t>Datos mensuales 2010-2023 (164 meses). Rolling origin: cada mes usa solo datos hasta t-1.</t>
        </is>
      </c>
    </row>
    <row r="4">
      <c r="A4" s="3" t="inlineStr">
        <is>
          <t>Materia Prima</t>
        </is>
      </c>
      <c r="B4" s="3" t="inlineStr">
        <is>
          <t>Naive</t>
        </is>
      </c>
      <c r="C4" s="3" t="inlineStr">
        <is>
          <t>SMA(3)</t>
        </is>
      </c>
      <c r="D4" s="3" t="inlineStr">
        <is>
          <t>SMA(6)</t>
        </is>
      </c>
      <c r="E4" s="3" t="inlineStr">
        <is>
          <t>Mejor metodo</t>
        </is>
      </c>
    </row>
    <row r="5">
      <c r="A5" s="7" t="inlineStr">
        <is>
          <t>X</t>
        </is>
      </c>
      <c r="B5" s="17" t="n">
        <v>4.476343056530727</v>
      </c>
      <c r="C5" s="9" t="n">
        <v>6.192249395980797</v>
      </c>
      <c r="D5" s="9" t="n">
        <v>7.881408872149457</v>
      </c>
      <c r="E5" s="7" t="inlineStr">
        <is>
          <t>Naive</t>
        </is>
      </c>
    </row>
    <row r="6">
      <c r="A6" s="15" t="inlineStr">
        <is>
          <t>Y</t>
        </is>
      </c>
      <c r="B6" s="18" t="n">
        <v>24.27811951700829</v>
      </c>
      <c r="C6" s="18" t="n">
        <v>38.26835279194373</v>
      </c>
      <c r="D6" s="18" t="n">
        <v>49.50071275361793</v>
      </c>
      <c r="E6" s="15" t="inlineStr">
        <is>
          <t>Naive</t>
        </is>
      </c>
    </row>
    <row r="7">
      <c r="A7" s="7" t="inlineStr">
        <is>
          <t>Z</t>
        </is>
      </c>
      <c r="B7" s="17" t="n">
        <v>78.12894469283859</v>
      </c>
      <c r="C7" s="9" t="n">
        <v>111.0859647235454</v>
      </c>
      <c r="D7" s="9" t="n">
        <v>148.7434700432091</v>
      </c>
      <c r="E7" s="7" t="inlineStr">
        <is>
          <t>Naive</t>
        </is>
      </c>
    </row>
    <row r="9">
      <c r="A9" s="19" t="inlineStr">
        <is>
          <t>Conclusinn: Naive gana en 3/3 materias primas. Es el metodo mas consistente y el unico que nunca pierde.</t>
        </is>
      </c>
    </row>
  </sheetData>
  <mergeCells count="1">
    <mergeCell ref="A9:E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b5cf6"/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58" customWidth="1" min="3" max="3"/>
  </cols>
  <sheetData>
    <row r="1">
      <c r="A1" s="1" t="inlineStr">
        <is>
          <t>Formulas Paso a Paso</t>
        </is>
      </c>
    </row>
    <row r="2">
      <c r="A2" s="2" t="inlineStr">
        <is>
          <t>Reproduce la proyeccion manualmente sin depender del agente</t>
        </is>
      </c>
    </row>
    <row r="4">
      <c r="A4" s="3" t="inlineStr">
        <is>
          <t>Paso</t>
        </is>
      </c>
      <c r="B4" s="3" t="inlineStr">
        <is>
          <t>Formula</t>
        </is>
      </c>
      <c r="C4" s="3" t="inlineStr">
        <is>
          <t>Ejemplo con datos actuales</t>
        </is>
      </c>
    </row>
    <row r="5">
      <c r="A5" s="20" t="inlineStr">
        <is>
          <t>1. Obtener Y, Z</t>
        </is>
      </c>
      <c r="B5" s="21" t="inlineStr">
        <is>
          <t>Promedio del ultimo mes de datos historicos</t>
        </is>
      </c>
      <c r="C5" s="21" t="inlineStr">
        <is>
          <t>Y = $555.33, Z = $2142.52</t>
        </is>
      </c>
    </row>
    <row r="6">
      <c r="A6" s="22" t="inlineStr">
        <is>
          <t>2. Calcular Eq1 diario</t>
        </is>
      </c>
      <c r="B6" s="23" t="inlineStr">
        <is>
          <t>Eq1 = 0.8182 * Y + 5.49</t>
        </is>
      </c>
      <c r="C6" s="23">
        <f> 0.8182*555.33 + 5.49 = $459.87</f>
        <v/>
      </c>
    </row>
    <row r="7">
      <c r="A7" s="20" t="inlineStr">
        <is>
          <t>3. Calcular Eq2 diario</t>
        </is>
      </c>
      <c r="B7" s="21" t="inlineStr">
        <is>
          <t>Eq2 = 0.3551*Y + 0.3368*Z + 6.49</t>
        </is>
      </c>
      <c r="C7" s="21">
        <f> ... = $925.29</f>
        <v/>
      </c>
    </row>
    <row r="8">
      <c r="A8" s="22" t="inlineStr">
        <is>
          <t>4. Costo mensual Eq1</t>
        </is>
      </c>
      <c r="B8" s="23" t="inlineStr">
        <is>
          <t>Eq1_diario * 22 dias habiles</t>
        </is>
      </c>
      <c r="C8" s="23" t="inlineStr">
        <is>
          <t>$459.87 * 22 = $10,117.16</t>
        </is>
      </c>
    </row>
    <row r="9">
      <c r="A9" s="20" t="inlineStr">
        <is>
          <t>5. Costo mensual Eq2</t>
        </is>
      </c>
      <c r="B9" s="21" t="inlineStr">
        <is>
          <t>Eq2_diario * 22 dias habiles</t>
        </is>
      </c>
      <c r="C9" s="21" t="inlineStr">
        <is>
          <t>$925.29 * 22 = $20,356.45</t>
        </is>
      </c>
    </row>
    <row r="10">
      <c r="A10" s="22" t="inlineStr">
        <is>
          <t>6. IC 95% mes N</t>
        </is>
      </c>
      <c r="B10" s="23" t="inlineStr">
        <is>
          <t>1.96 * sigma * sqrt(N)</t>
        </is>
      </c>
      <c r="C10" s="23" t="inlineStr">
        <is>
          <t>Mes 1 Eq1: 1.96*4.69*sqrt(1) = +-$9.19</t>
        </is>
      </c>
    </row>
    <row r="11">
      <c r="A11" s="20" t="inlineStr">
        <is>
          <t>7. IC acumulado N meses</t>
        </is>
      </c>
      <c r="B11" s="21" t="inlineStr">
        <is>
          <t>1.96 * sigma * sqrt(N) * 22</t>
        </is>
      </c>
      <c r="C11" s="21" t="inlineStr">
        <is>
          <t>3m Eq1: 1.96*4.69*sqrt(3)*22 = +-$350.19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2026-07-24T21:49:00Z</dcterms:created>
  <dcterms:modified xmlns:dcterms="http://purl.org/dc/terms/" xmlns:xsi="http://www.w3.org/2001/XMLSchema-instance" xsi:type="dcterms:W3CDTF">2026-07-24T21:49:00Z</dcterms:modified>
</cp:coreProperties>
</file>